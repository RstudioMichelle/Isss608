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chellechen/RstudioMichelle/Isss608-VAA_Michelle/TakeHomeExercise/"/>
    </mc:Choice>
  </mc:AlternateContent>
  <xr:revisionPtr revIDLastSave="0" documentId="8_{44F91E76-9790-7C45-AB00-EE9F2028856A}" xr6:coauthVersionLast="47" xr6:coauthVersionMax="47" xr10:uidLastSave="{00000000-0000-0000-0000-000000000000}"/>
  <bookViews>
    <workbookView xWindow="10600" yWindow="660" windowWidth="19600" windowHeight="17640" xr2:uid="{5F8FB41C-148D-45CE-A431-C5482A3BDEA5}"/>
  </bookViews>
  <sheets>
    <sheet name="Cartera" sheetId="2" r:id="rId1"/>
  </sheets>
  <externalReferences>
    <externalReference r:id="rId2"/>
  </externalReferenc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2" l="1" a="1"/>
  <c r="C8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<sst xmlns="http://schemas.openxmlformats.org/spreadsheetml/2006/main" count="165" uniqueCount="122">
  <si>
    <t>total_exposure</t>
  </si>
  <si>
    <t>Represents the total incurred cost of claims for the policy, including paid amounts and outstanding reserves. Values are typically zero for policies without losses and positive when claims exist.</t>
  </si>
  <si>
    <t>total_incurred</t>
  </si>
  <si>
    <t>total_claims</t>
  </si>
  <si>
    <t>Indicates the total number of claims reported for the policy during the exposure period. Typical values range from 0 (no claims) to several claims per contract.</t>
  </si>
  <si>
    <t>liability_claims</t>
  </si>
  <si>
    <t>liability_injury_incurred</t>
  </si>
  <si>
    <t>theft_claims</t>
  </si>
  <si>
    <t>theft_incurred</t>
  </si>
  <si>
    <t>fire_claims</t>
  </si>
  <si>
    <t>fire_incurred</t>
  </si>
  <si>
    <t>glass_claims</t>
  </si>
  <si>
    <t>glass_incurred</t>
  </si>
  <si>
    <t>legal_protection_claims</t>
  </si>
  <si>
    <t>legal_protection_incurred</t>
  </si>
  <si>
    <t>year</t>
  </si>
  <si>
    <t>Count of property damage claims.</t>
  </si>
  <si>
    <t>Number of theft-related claims.</t>
  </si>
  <si>
    <t>Count of fire-related claims.</t>
  </si>
  <si>
    <t>Total incurred cost for fire claims.</t>
  </si>
  <si>
    <t>Number of glass-related claims.</t>
  </si>
  <si>
    <t>Total incurred cost for glass claims.</t>
  </si>
  <si>
    <t>Number of legal protection claims.</t>
  </si>
  <si>
    <t>Total incurred cost for legal protection claims.</t>
  </si>
  <si>
    <t>occupants_claims</t>
  </si>
  <si>
    <t>Number of claims under this coverage.</t>
  </si>
  <si>
    <t>policy_type</t>
  </si>
  <si>
    <t>driver_age</t>
  </si>
  <si>
    <t>vehicle_age</t>
  </si>
  <si>
    <t>Age of the main driver associated with the policy, measured in years.</t>
  </si>
  <si>
    <t>Age of the insured vehicle, also measured in years.</t>
  </si>
  <si>
    <t>fuel_type</t>
  </si>
  <si>
    <t>Declared insured value of the vehicle. Some entries are missing</t>
  </si>
  <si>
    <t>vehicle_value</t>
  </si>
  <si>
    <t>Number of seats available in the insured vehicle.</t>
  </si>
  <si>
    <t>seats</t>
  </si>
  <si>
    <t>municipality_type</t>
  </si>
  <si>
    <t>circulation_area</t>
  </si>
  <si>
    <t>payment_frequency</t>
  </si>
  <si>
    <t>liability_premium</t>
  </si>
  <si>
    <t>Premium charged for third-party liability coverage.</t>
  </si>
  <si>
    <t>property_damage_premium</t>
  </si>
  <si>
    <t>Premium corresponding to property damage coverage.</t>
  </si>
  <si>
    <t>theft_premium</t>
  </si>
  <si>
    <t>Premium associated with theft coverage.</t>
  </si>
  <si>
    <t>fire_premium</t>
  </si>
  <si>
    <t>Premium for fire coverage.</t>
  </si>
  <si>
    <t>glass_premium</t>
  </si>
  <si>
    <t>Premium for glass coverage.</t>
  </si>
  <si>
    <t>legal_protection_premium</t>
  </si>
  <si>
    <t>Premium for legal protection coverage.</t>
  </si>
  <si>
    <t>occupants_premium</t>
  </si>
  <si>
    <t>Premium for personal-injury coverage of vehicle occupants.</t>
  </si>
  <si>
    <t>policy_status</t>
  </si>
  <si>
    <t>business_type</t>
  </si>
  <si>
    <t>Calendar year</t>
  </si>
  <si>
    <t>insured_id</t>
  </si>
  <si>
    <t>power_to_weight_ratio</t>
  </si>
  <si>
    <t>Approximate weight-to-power ratio of the vehicle (kg per horsepower), used as a proxy for performance characteristics.</t>
  </si>
  <si>
    <t>vehicle_brand</t>
  </si>
  <si>
    <t>property_claims</t>
  </si>
  <si>
    <t>total_premium</t>
  </si>
  <si>
    <t>Description</t>
  </si>
  <si>
    <t>Group</t>
  </si>
  <si>
    <t>Policy and insured characteristics</t>
  </si>
  <si>
    <t>Driver and vehicle characteristics</t>
  </si>
  <si>
    <t>Premiums</t>
  </si>
  <si>
    <t>Exposure, claims and incurred</t>
  </si>
  <si>
    <t>bonus_score</t>
  </si>
  <si>
    <t>liability_exposure</t>
  </si>
  <si>
    <t>liability_incurred</t>
  </si>
  <si>
    <t>liability_property_claims</t>
  </si>
  <si>
    <t>Amount of exposure associated with liability coverage.</t>
  </si>
  <si>
    <t>Total number of liability claims reported under the policy.</t>
  </si>
  <si>
    <t>Total incurred cost (paid + reserved) for all liability claims.</t>
  </si>
  <si>
    <t>Number of liability claims related to material or property damage.</t>
  </si>
  <si>
    <t>liability_property_incurred</t>
  </si>
  <si>
    <t>Total incurred cost for liability claims involving material or property damage.</t>
  </si>
  <si>
    <t>liability_injury_claims</t>
  </si>
  <si>
    <t>Number of liability claims involving bodily injury.</t>
  </si>
  <si>
    <t>Total incurred cost for liability claims involving bodily injury.</t>
  </si>
  <si>
    <t>property_incurred</t>
  </si>
  <si>
    <t>occupants_incurred</t>
  </si>
  <si>
    <t>Total incurred cost under this coverage.</t>
  </si>
  <si>
    <t>Indicates whether the policy was active (A) or cancelled (C) at the time of analysis.</t>
  </si>
  <si>
    <t>age_driving_licence</t>
  </si>
  <si>
    <t>Variables</t>
  </si>
  <si>
    <t>Unique identifier assigned to each policy number.</t>
  </si>
  <si>
    <t>It assigns a sequential ID based on the first appearance of each policy number; repeated policy numbers receive the same ID.</t>
  </si>
  <si>
    <t>Categorical variable describing the main coverage structure of the motor insurance policy. The original detailed combinations have been grouped into broader, actuarially meaningful categories.</t>
  </si>
  <si>
    <t>- TP: Basic third-party liability coverage only.</t>
  </si>
  <si>
    <t>- TPG: Third-party liability with glass coverage.</t>
  </si>
  <si>
    <t>- COMP_E: comprehensive with excess.</t>
  </si>
  <si>
    <t>- COMP_N: comprehensive without excess</t>
  </si>
  <si>
    <t xml:space="preserve">Classification of the policy according to its business origin. </t>
  </si>
  <si>
    <t>- NB: new_business</t>
  </si>
  <si>
    <t>- P: portfolio</t>
  </si>
  <si>
    <t>Indicates the policy’s billing frequency:</t>
  </si>
  <si>
    <t>- A: annual</t>
  </si>
  <si>
    <t>- S: semiannual</t>
  </si>
  <si>
    <t>- Q: quarterly</t>
  </si>
  <si>
    <t>Indicator of the policyholder’s past claims experience:</t>
  </si>
  <si>
    <t>- G: Positive reflects a favourable claims history</t>
  </si>
  <si>
    <t>- N: indicates a neutral profile</t>
  </si>
  <si>
    <t>- B: had a negative denotes a poor claims history.</t>
  </si>
  <si>
    <t>Year in which the insured obtained the driving licence.</t>
  </si>
  <si>
    <t>Note: this variable records the calendar year of licence issuance and does not measure the length of time the licence has been held.</t>
  </si>
  <si>
    <t>Indicates the vehicle’s fuel type. In this dataset, only two categories are kept:</t>
  </si>
  <si>
    <t>- D: diesel</t>
  </si>
  <si>
    <t>- G: gasoline</t>
  </si>
  <si>
    <t>Brand of the insured vehicle as reported in the policy data.</t>
  </si>
  <si>
    <t>Geographic classification of the policyholder’s municipality:</t>
  </si>
  <si>
    <t>- I: inland</t>
  </si>
  <si>
    <t>- C: coastal</t>
  </si>
  <si>
    <t>- IS: islands</t>
  </si>
  <si>
    <t>Indicates the predominant circulation environment of the vehicle:</t>
  </si>
  <si>
    <t>- U: urban</t>
  </si>
  <si>
    <t xml:space="preserve">- R: rural </t>
  </si>
  <si>
    <t>Total premium of the policy, calculated as the sum of all individual coverage premiums.</t>
  </si>
  <si>
    <t>Total incurred cost for property damage claims.</t>
  </si>
  <si>
    <t>Total incurred cost for theft claims.</t>
  </si>
  <si>
    <t>Represents the effective time-on-risk for each policy, expressed in policy years. Values range from 0 to 1 for partial-year exposure, and may exceed 1 if the contract covers more than one year.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</si>
</sst>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rgb="FF000000"/>
      <name val="Times New Roman"/>
      <family val="1"/>
    </font>
    <font>
      <b/>
      <i/>
      <sz val="9"/>
      <color theme="1"/>
      <name val="Calibri"/>
      <family val="2"/>
    </font>
    <font>
      <i/>
      <sz val="9"/>
      <color theme="1"/>
      <name val="Calibri"/>
      <family val="2"/>
    </font>
    <font>
      <i/>
      <sz val="9"/>
      <color rgb="FF000000"/>
      <name val="Calibri"/>
      <family val="2"/>
    </font>
    <font>
      <i/>
      <sz val="8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dashed">
        <color indexed="64"/>
      </right>
      <top style="thin">
        <color indexed="64"/>
      </top>
      <bottom/>
      <diagonal/>
    </border>
    <border>
      <left style="dashed">
        <color indexed="64"/>
      </left>
      <right style="dashed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1" fillId="0" borderId="0" xfId="0" applyFont="1"/>
    <xf numFmtId="0" fontId="2" fillId="0" borderId="1" xfId="0" applyFont="1" applyBorder="1"/>
    <xf numFmtId="0" fontId="2" fillId="0" borderId="2" xfId="0" applyFont="1" applyBorder="1"/>
    <xf numFmtId="0" fontId="5" fillId="0" borderId="7" xfId="0" applyFont="1" applyBorder="1" applyAlignment="1">
      <alignment vertical="center" wrapText="1"/>
    </xf>
    <xf numFmtId="0" fontId="5" fillId="0" borderId="8" xfId="0" applyFont="1" applyBorder="1" applyAlignment="1">
      <alignment vertical="center" wrapText="1"/>
    </xf>
    <xf numFmtId="0" fontId="4" fillId="0" borderId="5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6" fillId="0" borderId="10" xfId="0" applyFont="1" applyBorder="1" applyAlignment="1">
      <alignment vertical="center" wrapText="1"/>
    </xf>
    <xf numFmtId="0" fontId="6" fillId="0" borderId="8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4" fillId="0" borderId="3" xfId="0" applyFont="1" applyBorder="1" applyAlignment="1">
      <alignment vertical="center"/>
    </xf>
    <xf numFmtId="0" fontId="5" fillId="0" borderId="6" xfId="0" applyFont="1" applyBorder="1" applyAlignment="1">
      <alignment vertical="center" wrapText="1"/>
    </xf>
    <xf numFmtId="0" fontId="5" fillId="0" borderId="6" xfId="0" applyFont="1" applyBorder="1" applyAlignment="1">
      <alignment vertical="center"/>
    </xf>
    <xf numFmtId="0" fontId="7" fillId="0" borderId="8" xfId="0" applyFont="1" applyBorder="1" applyAlignment="1">
      <alignment vertical="center" wrapText="1"/>
    </xf>
    <xf numFmtId="0" fontId="4" fillId="2" borderId="3" xfId="0" applyFont="1" applyFill="1" applyBorder="1" applyAlignment="1">
      <alignment vertical="center"/>
    </xf>
    <xf numFmtId="0" fontId="5" fillId="2" borderId="6" xfId="0" applyFont="1" applyFill="1" applyBorder="1" applyAlignment="1">
      <alignment vertical="center" wrapText="1"/>
    </xf>
    <xf numFmtId="0" fontId="5" fillId="2" borderId="6" xfId="0" applyFont="1" applyFill="1" applyBorder="1" applyAlignment="1">
      <alignment vertical="center"/>
    </xf>
    <xf numFmtId="0" fontId="0" fillId="2" borderId="0" xfId="0" applyFill="1"/>
    <xf numFmtId="0" fontId="4" fillId="2" borderId="5" xfId="0" applyFont="1" applyFill="1" applyBorder="1" applyAlignment="1">
      <alignment vertical="center"/>
    </xf>
    <xf numFmtId="0" fontId="5" fillId="2" borderId="8" xfId="0" applyFont="1" applyFill="1" applyBorder="1" applyAlignment="1">
      <alignment vertical="center" wrapText="1"/>
    </xf>
    <xf numFmtId="0" fontId="5" fillId="2" borderId="8" xfId="0" applyFont="1" applyFill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5" fillId="0" borderId="9" xfId="0" applyFont="1" applyBorder="1" applyAlignment="1">
      <alignment vertical="center"/>
    </xf>
  </cellXfs>
  <cellStyles count="2">
    <cellStyle name="Normal" xfId="0" builtinId="0"/>
    <cellStyle name="Normal 2" xfId="1" xr:uid="{58841F61-4C82-486C-B37B-3A6064B4389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michellechen/RstudioMichelle/Isss608-VAA_Michelle/TakeHomeExercise/Dataset%20of%20motor%20insurance%20portfolio(AutoRecovered).xlsx" TargetMode="External"/><Relationship Id="rId1" Type="http://schemas.openxmlformats.org/officeDocument/2006/relationships/externalLinkPath" Target="Dataset%20of%20motor%20insurance%20portfolio(AutoRecovered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set of motor insurance port"/>
    </sheetNames>
    <sheetDataSet>
      <sheetData sheetId="0">
        <row r="1">
          <cell r="Q1" t="str">
            <v>circulation_area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D9760-2D92-4390-A868-861A4EE1FB99}">
  <dimension ref="B1:D70"/>
  <sheetViews>
    <sheetView tabSelected="1" topLeftCell="A5" zoomScale="125" workbookViewId="0">
      <selection activeCell="C8" sqref="C8"/>
    </sheetView>
  </sheetViews>
  <sheetFormatPr baseColWidth="10" defaultRowHeight="15" x14ac:dyDescent="0.2"/>
  <cols>
    <col min="2" max="2" width="26.1640625" bestFit="1" customWidth="1"/>
    <col min="3" max="3" width="87.1640625" customWidth="1"/>
    <col min="4" max="4" width="31.33203125" bestFit="1" customWidth="1"/>
  </cols>
  <sheetData>
    <row r="1" spans="2:4" ht="17" thickBot="1" x14ac:dyDescent="0.25">
      <c r="B1" s="2" t="s">
        <v>86</v>
      </c>
      <c r="C1" s="3" t="s">
        <v>62</v>
      </c>
      <c r="D1" s="3" t="s">
        <v>63</v>
      </c>
    </row>
    <row r="2" spans="2:4" x14ac:dyDescent="0.2">
      <c r="B2" s="22" t="s">
        <v>56</v>
      </c>
      <c r="C2" s="4" t="s">
        <v>87</v>
      </c>
      <c r="D2" s="24" t="s">
        <v>64</v>
      </c>
    </row>
    <row r="3" spans="2:4" ht="16" thickBot="1" x14ac:dyDescent="0.25">
      <c r="B3" s="23"/>
      <c r="C3" s="5" t="s">
        <v>88</v>
      </c>
      <c r="D3" s="25"/>
    </row>
    <row r="4" spans="2:4" ht="16" thickBot="1" x14ac:dyDescent="0.25">
      <c r="B4" s="6" t="s">
        <v>15</v>
      </c>
      <c r="C4" s="5" t="s">
        <v>55</v>
      </c>
      <c r="D4" s="7" t="s">
        <v>64</v>
      </c>
    </row>
    <row r="5" spans="2:4" ht="26" x14ac:dyDescent="0.2">
      <c r="B5" s="22" t="s">
        <v>26</v>
      </c>
      <c r="C5" s="8" t="s">
        <v>89</v>
      </c>
      <c r="D5" s="24" t="s">
        <v>64</v>
      </c>
    </row>
    <row r="6" spans="2:4" x14ac:dyDescent="0.2">
      <c r="B6" s="26"/>
      <c r="C6" s="8" t="s">
        <v>90</v>
      </c>
      <c r="D6" s="27"/>
    </row>
    <row r="7" spans="2:4" x14ac:dyDescent="0.2">
      <c r="B7" s="26"/>
      <c r="C7" s="8" t="s">
        <v>91</v>
      </c>
      <c r="D7" s="27"/>
    </row>
    <row r="8" spans="2:4" x14ac:dyDescent="0.2">
      <c r="B8" s="26"/>
      <c r="C8" s="8" t="e" cm="1">
        <f t="array" ref="C8">- CC: '[1]Dataset of motor insurance port'!$Q$1</f>
        <v>#NAME?</v>
      </c>
      <c r="D8" s="27"/>
    </row>
    <row r="9" spans="2:4" x14ac:dyDescent="0.2">
      <c r="B9" s="26"/>
      <c r="C9" s="8" t="s">
        <v>92</v>
      </c>
      <c r="D9" s="27"/>
    </row>
    <row r="10" spans="2:4" ht="16" thickBot="1" x14ac:dyDescent="0.25">
      <c r="B10" s="23"/>
      <c r="C10" s="9" t="s">
        <v>93</v>
      </c>
      <c r="D10" s="25"/>
    </row>
    <row r="11" spans="2:4" ht="16" thickBot="1" x14ac:dyDescent="0.25">
      <c r="B11" s="6" t="s">
        <v>53</v>
      </c>
      <c r="C11" s="5" t="s">
        <v>84</v>
      </c>
      <c r="D11" s="7" t="s">
        <v>64</v>
      </c>
    </row>
    <row r="12" spans="2:4" x14ac:dyDescent="0.2">
      <c r="B12" s="22" t="s">
        <v>54</v>
      </c>
      <c r="C12" s="10" t="s">
        <v>94</v>
      </c>
      <c r="D12" s="24" t="s">
        <v>64</v>
      </c>
    </row>
    <row r="13" spans="2:4" x14ac:dyDescent="0.2">
      <c r="B13" s="26"/>
      <c r="C13" s="10" t="s">
        <v>95</v>
      </c>
      <c r="D13" s="27"/>
    </row>
    <row r="14" spans="2:4" ht="16" thickBot="1" x14ac:dyDescent="0.25">
      <c r="B14" s="23"/>
      <c r="C14" s="5" t="s">
        <v>96</v>
      </c>
      <c r="D14" s="25"/>
    </row>
    <row r="15" spans="2:4" x14ac:dyDescent="0.2">
      <c r="B15" s="22" t="s">
        <v>38</v>
      </c>
      <c r="C15" s="10" t="s">
        <v>97</v>
      </c>
      <c r="D15" s="24" t="s">
        <v>64</v>
      </c>
    </row>
    <row r="16" spans="2:4" x14ac:dyDescent="0.2">
      <c r="B16" s="26"/>
      <c r="C16" s="10" t="s">
        <v>98</v>
      </c>
      <c r="D16" s="27"/>
    </row>
    <row r="17" spans="2:4" x14ac:dyDescent="0.2">
      <c r="B17" s="26"/>
      <c r="C17" s="10" t="s">
        <v>99</v>
      </c>
      <c r="D17" s="27"/>
    </row>
    <row r="18" spans="2:4" ht="16" thickBot="1" x14ac:dyDescent="0.25">
      <c r="B18" s="23"/>
      <c r="C18" s="5" t="s">
        <v>100</v>
      </c>
      <c r="D18" s="25"/>
    </row>
    <row r="19" spans="2:4" x14ac:dyDescent="0.2">
      <c r="B19" s="22" t="s">
        <v>68</v>
      </c>
      <c r="C19" s="10" t="s">
        <v>101</v>
      </c>
      <c r="D19" s="24" t="s">
        <v>64</v>
      </c>
    </row>
    <row r="20" spans="2:4" x14ac:dyDescent="0.2">
      <c r="B20" s="26"/>
      <c r="C20" s="10" t="s">
        <v>102</v>
      </c>
      <c r="D20" s="27"/>
    </row>
    <row r="21" spans="2:4" x14ac:dyDescent="0.2">
      <c r="B21" s="26"/>
      <c r="C21" s="10" t="s">
        <v>103</v>
      </c>
      <c r="D21" s="27"/>
    </row>
    <row r="22" spans="2:4" ht="16" thickBot="1" x14ac:dyDescent="0.25">
      <c r="B22" s="23"/>
      <c r="C22" s="5" t="s">
        <v>104</v>
      </c>
      <c r="D22" s="25"/>
    </row>
    <row r="23" spans="2:4" ht="16" thickBot="1" x14ac:dyDescent="0.25">
      <c r="B23" s="11" t="s">
        <v>27</v>
      </c>
      <c r="C23" s="12" t="s">
        <v>29</v>
      </c>
      <c r="D23" s="13" t="s">
        <v>65</v>
      </c>
    </row>
    <row r="24" spans="2:4" ht="16" thickBot="1" x14ac:dyDescent="0.25">
      <c r="B24" s="6" t="s">
        <v>28</v>
      </c>
      <c r="C24" s="5" t="s">
        <v>30</v>
      </c>
      <c r="D24" s="7" t="s">
        <v>65</v>
      </c>
    </row>
    <row r="25" spans="2:4" x14ac:dyDescent="0.2">
      <c r="B25" s="22" t="s">
        <v>85</v>
      </c>
      <c r="C25" s="10" t="s">
        <v>105</v>
      </c>
      <c r="D25" s="24" t="s">
        <v>65</v>
      </c>
    </row>
    <row r="26" spans="2:4" ht="16" thickBot="1" x14ac:dyDescent="0.25">
      <c r="B26" s="23"/>
      <c r="C26" s="14" t="s">
        <v>106</v>
      </c>
      <c r="D26" s="25"/>
    </row>
    <row r="27" spans="2:4" x14ac:dyDescent="0.2">
      <c r="B27" s="22" t="s">
        <v>31</v>
      </c>
      <c r="C27" s="10" t="s">
        <v>107</v>
      </c>
      <c r="D27" s="24" t="s">
        <v>65</v>
      </c>
    </row>
    <row r="28" spans="2:4" x14ac:dyDescent="0.2">
      <c r="B28" s="26"/>
      <c r="C28" s="10" t="s">
        <v>108</v>
      </c>
      <c r="D28" s="27"/>
    </row>
    <row r="29" spans="2:4" ht="16" thickBot="1" x14ac:dyDescent="0.25">
      <c r="B29" s="23"/>
      <c r="C29" s="5" t="s">
        <v>109</v>
      </c>
      <c r="D29" s="25"/>
    </row>
    <row r="30" spans="2:4" ht="16" thickBot="1" x14ac:dyDescent="0.25">
      <c r="B30" s="6" t="s">
        <v>33</v>
      </c>
      <c r="C30" s="5" t="s">
        <v>32</v>
      </c>
      <c r="D30" s="7" t="s">
        <v>65</v>
      </c>
    </row>
    <row r="31" spans="2:4" ht="16" thickBot="1" x14ac:dyDescent="0.25">
      <c r="B31" s="6" t="s">
        <v>35</v>
      </c>
      <c r="C31" s="5" t="s">
        <v>34</v>
      </c>
      <c r="D31" s="7" t="s">
        <v>65</v>
      </c>
    </row>
    <row r="32" spans="2:4" ht="16" thickBot="1" x14ac:dyDescent="0.25">
      <c r="B32" s="6" t="s">
        <v>57</v>
      </c>
      <c r="C32" s="5" t="s">
        <v>58</v>
      </c>
      <c r="D32" s="7" t="s">
        <v>65</v>
      </c>
    </row>
    <row r="33" spans="2:4" ht="16" thickBot="1" x14ac:dyDescent="0.25">
      <c r="B33" s="6" t="s">
        <v>59</v>
      </c>
      <c r="C33" s="5" t="s">
        <v>110</v>
      </c>
      <c r="D33" s="7" t="s">
        <v>65</v>
      </c>
    </row>
    <row r="34" spans="2:4" x14ac:dyDescent="0.2">
      <c r="B34" s="22" t="s">
        <v>36</v>
      </c>
      <c r="C34" s="10" t="s">
        <v>111</v>
      </c>
      <c r="D34" s="24" t="s">
        <v>65</v>
      </c>
    </row>
    <row r="35" spans="2:4" x14ac:dyDescent="0.2">
      <c r="B35" s="26"/>
      <c r="C35" s="10" t="s">
        <v>112</v>
      </c>
      <c r="D35" s="27"/>
    </row>
    <row r="36" spans="2:4" x14ac:dyDescent="0.2">
      <c r="B36" s="26"/>
      <c r="C36" s="10" t="s">
        <v>113</v>
      </c>
      <c r="D36" s="27"/>
    </row>
    <row r="37" spans="2:4" ht="16" thickBot="1" x14ac:dyDescent="0.25">
      <c r="B37" s="23"/>
      <c r="C37" s="5" t="s">
        <v>114</v>
      </c>
      <c r="D37" s="25"/>
    </row>
    <row r="38" spans="2:4" x14ac:dyDescent="0.2">
      <c r="B38" s="22" t="s">
        <v>37</v>
      </c>
      <c r="C38" s="10" t="s">
        <v>115</v>
      </c>
      <c r="D38" s="24" t="s">
        <v>65</v>
      </c>
    </row>
    <row r="39" spans="2:4" x14ac:dyDescent="0.2">
      <c r="B39" s="26"/>
      <c r="C39" s="10" t="s">
        <v>116</v>
      </c>
      <c r="D39" s="27"/>
    </row>
    <row r="40" spans="2:4" ht="16" thickBot="1" x14ac:dyDescent="0.25">
      <c r="B40" s="23"/>
      <c r="C40" s="5" t="s">
        <v>117</v>
      </c>
      <c r="D40" s="25"/>
    </row>
    <row r="41" spans="2:4" s="18" customFormat="1" ht="16" thickBot="1" x14ac:dyDescent="0.25">
      <c r="B41" s="15" t="s">
        <v>61</v>
      </c>
      <c r="C41" s="16" t="s">
        <v>118</v>
      </c>
      <c r="D41" s="17" t="s">
        <v>66</v>
      </c>
    </row>
    <row r="42" spans="2:4" ht="16" thickBot="1" x14ac:dyDescent="0.25">
      <c r="B42" s="6" t="s">
        <v>39</v>
      </c>
      <c r="C42" s="5" t="s">
        <v>40</v>
      </c>
      <c r="D42" s="7" t="s">
        <v>66</v>
      </c>
    </row>
    <row r="43" spans="2:4" s="1" customFormat="1" ht="16" thickBot="1" x14ac:dyDescent="0.25">
      <c r="B43" s="6" t="s">
        <v>41</v>
      </c>
      <c r="C43" s="5" t="s">
        <v>42</v>
      </c>
      <c r="D43" s="7" t="s">
        <v>66</v>
      </c>
    </row>
    <row r="44" spans="2:4" ht="16" thickBot="1" x14ac:dyDescent="0.25">
      <c r="B44" s="6" t="s">
        <v>43</v>
      </c>
      <c r="C44" s="5" t="s">
        <v>44</v>
      </c>
      <c r="D44" s="7" t="s">
        <v>66</v>
      </c>
    </row>
    <row r="45" spans="2:4" ht="16" thickBot="1" x14ac:dyDescent="0.25">
      <c r="B45" s="6" t="s">
        <v>45</v>
      </c>
      <c r="C45" s="5" t="s">
        <v>46</v>
      </c>
      <c r="D45" s="7" t="s">
        <v>66</v>
      </c>
    </row>
    <row r="46" spans="2:4" ht="16" thickBot="1" x14ac:dyDescent="0.25">
      <c r="B46" s="6" t="s">
        <v>47</v>
      </c>
      <c r="C46" s="5" t="s">
        <v>48</v>
      </c>
      <c r="D46" s="7" t="s">
        <v>66</v>
      </c>
    </row>
    <row r="47" spans="2:4" ht="16" thickBot="1" x14ac:dyDescent="0.25">
      <c r="B47" s="6" t="s">
        <v>49</v>
      </c>
      <c r="C47" s="5" t="s">
        <v>50</v>
      </c>
      <c r="D47" s="7" t="s">
        <v>66</v>
      </c>
    </row>
    <row r="48" spans="2:4" ht="16" thickBot="1" x14ac:dyDescent="0.25">
      <c r="B48" s="6" t="s">
        <v>51</v>
      </c>
      <c r="C48" s="5" t="s">
        <v>52</v>
      </c>
      <c r="D48" s="7" t="s">
        <v>66</v>
      </c>
    </row>
    <row r="49" spans="2:4" s="18" customFormat="1" ht="27" thickBot="1" x14ac:dyDescent="0.25">
      <c r="B49" s="15" t="s">
        <v>3</v>
      </c>
      <c r="C49" s="16" t="s">
        <v>4</v>
      </c>
      <c r="D49" s="17" t="s">
        <v>67</v>
      </c>
    </row>
    <row r="50" spans="2:4" ht="16" thickBot="1" x14ac:dyDescent="0.25">
      <c r="B50" s="6" t="s">
        <v>5</v>
      </c>
      <c r="C50" s="5" t="s">
        <v>73</v>
      </c>
      <c r="D50" s="7" t="s">
        <v>67</v>
      </c>
    </row>
    <row r="51" spans="2:4" ht="16" thickBot="1" x14ac:dyDescent="0.25">
      <c r="B51" s="6" t="s">
        <v>71</v>
      </c>
      <c r="C51" s="5" t="s">
        <v>75</v>
      </c>
      <c r="D51" s="7" t="s">
        <v>67</v>
      </c>
    </row>
    <row r="52" spans="2:4" ht="16" thickBot="1" x14ac:dyDescent="0.25">
      <c r="B52" s="6" t="s">
        <v>78</v>
      </c>
      <c r="C52" s="5" t="s">
        <v>79</v>
      </c>
      <c r="D52" s="7" t="s">
        <v>67</v>
      </c>
    </row>
    <row r="53" spans="2:4" ht="16" thickBot="1" x14ac:dyDescent="0.25">
      <c r="B53" s="6" t="s">
        <v>60</v>
      </c>
      <c r="C53" s="5" t="s">
        <v>16</v>
      </c>
      <c r="D53" s="7" t="s">
        <v>67</v>
      </c>
    </row>
    <row r="54" spans="2:4" ht="16" thickBot="1" x14ac:dyDescent="0.25">
      <c r="B54" s="6" t="s">
        <v>7</v>
      </c>
      <c r="C54" s="5" t="s">
        <v>17</v>
      </c>
      <c r="D54" s="7" t="s">
        <v>67</v>
      </c>
    </row>
    <row r="55" spans="2:4" ht="16" thickBot="1" x14ac:dyDescent="0.25">
      <c r="B55" s="6" t="s">
        <v>9</v>
      </c>
      <c r="C55" s="5" t="s">
        <v>18</v>
      </c>
      <c r="D55" s="7" t="s">
        <v>67</v>
      </c>
    </row>
    <row r="56" spans="2:4" ht="16" thickBot="1" x14ac:dyDescent="0.25">
      <c r="B56" s="6" t="s">
        <v>11</v>
      </c>
      <c r="C56" s="5" t="s">
        <v>20</v>
      </c>
      <c r="D56" s="7" t="s">
        <v>67</v>
      </c>
    </row>
    <row r="57" spans="2:4" ht="16" thickBot="1" x14ac:dyDescent="0.25">
      <c r="B57" s="6" t="s">
        <v>13</v>
      </c>
      <c r="C57" s="5" t="s">
        <v>22</v>
      </c>
      <c r="D57" s="7" t="s">
        <v>67</v>
      </c>
    </row>
    <row r="58" spans="2:4" ht="16" thickBot="1" x14ac:dyDescent="0.25">
      <c r="B58" s="6" t="s">
        <v>24</v>
      </c>
      <c r="C58" s="5" t="s">
        <v>25</v>
      </c>
      <c r="D58" s="7" t="s">
        <v>67</v>
      </c>
    </row>
    <row r="59" spans="2:4" s="18" customFormat="1" ht="27" thickBot="1" x14ac:dyDescent="0.25">
      <c r="B59" s="19" t="s">
        <v>2</v>
      </c>
      <c r="C59" s="20" t="s">
        <v>1</v>
      </c>
      <c r="D59" s="21" t="s">
        <v>67</v>
      </c>
    </row>
    <row r="60" spans="2:4" ht="16" thickBot="1" x14ac:dyDescent="0.25">
      <c r="B60" s="6" t="s">
        <v>70</v>
      </c>
      <c r="C60" s="5" t="s">
        <v>74</v>
      </c>
      <c r="D60" s="7" t="s">
        <v>67</v>
      </c>
    </row>
    <row r="61" spans="2:4" ht="16" thickBot="1" x14ac:dyDescent="0.25">
      <c r="B61" s="6" t="s">
        <v>76</v>
      </c>
      <c r="C61" s="5" t="s">
        <v>77</v>
      </c>
      <c r="D61" s="7" t="s">
        <v>67</v>
      </c>
    </row>
    <row r="62" spans="2:4" ht="16" thickBot="1" x14ac:dyDescent="0.25">
      <c r="B62" s="6" t="s">
        <v>6</v>
      </c>
      <c r="C62" s="5" t="s">
        <v>80</v>
      </c>
      <c r="D62" s="7" t="s">
        <v>67</v>
      </c>
    </row>
    <row r="63" spans="2:4" ht="16" thickBot="1" x14ac:dyDescent="0.25">
      <c r="B63" s="6" t="s">
        <v>81</v>
      </c>
      <c r="C63" s="5" t="s">
        <v>119</v>
      </c>
      <c r="D63" s="7" t="s">
        <v>67</v>
      </c>
    </row>
    <row r="64" spans="2:4" ht="16" thickBot="1" x14ac:dyDescent="0.25">
      <c r="B64" s="6" t="s">
        <v>8</v>
      </c>
      <c r="C64" s="5" t="s">
        <v>120</v>
      </c>
      <c r="D64" s="7" t="s">
        <v>67</v>
      </c>
    </row>
    <row r="65" spans="2:4" ht="16" thickBot="1" x14ac:dyDescent="0.25">
      <c r="B65" s="6" t="s">
        <v>10</v>
      </c>
      <c r="C65" s="5" t="s">
        <v>19</v>
      </c>
      <c r="D65" s="7" t="s">
        <v>67</v>
      </c>
    </row>
    <row r="66" spans="2:4" ht="16" thickBot="1" x14ac:dyDescent="0.25">
      <c r="B66" s="6" t="s">
        <v>12</v>
      </c>
      <c r="C66" s="5" t="s">
        <v>21</v>
      </c>
      <c r="D66" s="7" t="s">
        <v>67</v>
      </c>
    </row>
    <row r="67" spans="2:4" ht="16" thickBot="1" x14ac:dyDescent="0.25">
      <c r="B67" s="6" t="s">
        <v>14</v>
      </c>
      <c r="C67" s="5" t="s">
        <v>23</v>
      </c>
      <c r="D67" s="7" t="s">
        <v>67</v>
      </c>
    </row>
    <row r="68" spans="2:4" ht="16" thickBot="1" x14ac:dyDescent="0.25">
      <c r="B68" s="6" t="s">
        <v>82</v>
      </c>
      <c r="C68" s="5" t="s">
        <v>83</v>
      </c>
      <c r="D68" s="7" t="s">
        <v>67</v>
      </c>
    </row>
    <row r="69" spans="2:4" s="18" customFormat="1" ht="27" thickBot="1" x14ac:dyDescent="0.25">
      <c r="B69" s="19" t="s">
        <v>0</v>
      </c>
      <c r="C69" s="20" t="s">
        <v>121</v>
      </c>
      <c r="D69" s="21" t="s">
        <v>67</v>
      </c>
    </row>
    <row r="70" spans="2:4" s="18" customFormat="1" ht="16" thickBot="1" x14ac:dyDescent="0.25">
      <c r="B70" s="19" t="s">
        <v>69</v>
      </c>
      <c r="C70" s="20" t="s">
        <v>72</v>
      </c>
      <c r="D70" s="21" t="s">
        <v>67</v>
      </c>
    </row>
  </sheetData>
  <mergeCells count="18">
    <mergeCell ref="B27:B29"/>
    <mergeCell ref="D27:D29"/>
    <mergeCell ref="B34:B37"/>
    <mergeCell ref="D34:D37"/>
    <mergeCell ref="B38:B40"/>
    <mergeCell ref="D38:D40"/>
    <mergeCell ref="B15:B18"/>
    <mergeCell ref="D15:D18"/>
    <mergeCell ref="B19:B22"/>
    <mergeCell ref="D19:D22"/>
    <mergeCell ref="B25:B26"/>
    <mergeCell ref="D25:D26"/>
    <mergeCell ref="B2:B3"/>
    <mergeCell ref="D2:D3"/>
    <mergeCell ref="B5:B10"/>
    <mergeCell ref="D5:D10"/>
    <mergeCell ref="B12:B14"/>
    <mergeCell ref="D12:D14"/>
  </mergeCells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40a6354e-6d04-4730-95c3-6ecb9619f301}" enabled="1" method="Privileged" siteId="{ef8a53ea-1a1c-4189-b792-c832dcaea56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Cartera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 Lledo Benito</dc:creator>
  <cp:lastModifiedBy>Michelle Chen</cp:lastModifiedBy>
  <dcterms:created xsi:type="dcterms:W3CDTF">2025-11-14T15:34:06Z</dcterms:created>
  <dcterms:modified xsi:type="dcterms:W3CDTF">2026-05-24T06:06:51Z</dcterms:modified>
</cp:coreProperties>
</file>